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ob Details" sheetId="2" r:id="rId2"/>
    <sheet name="Transformations" sheetId="3" r:id="rId3"/>
    <sheet name="Jobs Transformations Xref" sheetId="4" r:id="rId4"/>
    <sheet name="Jobs Transformations List" sheetId="5" r:id="rId5"/>
    <sheet name="Subjob Info" sheetId="6" r:id="rId6"/>
    <sheet name="Item Node Info" sheetId="7" r:id="rId7"/>
    <sheet name="Jobs Objects Xref" sheetId="8" r:id="rId8"/>
    <sheet name="Jobs Objects List" sheetId="9" r:id="rId9"/>
    <sheet name="Functions" sheetId="10" r:id="rId10"/>
    <sheet name="Functions by Job" sheetId="11" r:id="rId11"/>
    <sheet name="Subject Areas" sheetId="12" r:id="rId12"/>
    <sheet name="Combined Checksums" sheetId="13" r:id="rId13"/>
    <sheet name="Transformation Expressions" sheetId="14" r:id="rId14"/>
    <sheet name="Misc Job Attributes" sheetId="15" r:id="rId15"/>
    <sheet name="Embedded SQL Summary" sheetId="16" r:id="rId16"/>
    <sheet name="Embedded SQL Programs" sheetId="17" r:id="rId17"/>
    <sheet name="Embedded SQL Script Categories" sheetId="18" r:id="rId18"/>
    <sheet name="Embedded SQL UNKNOWN Category" sheetId="19" r:id="rId19"/>
  </sheets>
  <definedNames>
    <definedName name="_xlnm._FilterDatabase" localSheetId="12" hidden="1">'Combined Checksums'!$A$1:$C$11</definedName>
    <definedName name="_xlnm._FilterDatabase" localSheetId="16" hidden="1">'Embedded SQL Programs'!$A$1:$L$1</definedName>
    <definedName name="_xlnm._FilterDatabase" localSheetId="17" hidden="1">'Embedded SQL Script Categories'!$A$1:$B$1</definedName>
    <definedName name="_xlnm._FilterDatabase" localSheetId="18" hidden="1">'Embedded SQL UNKNOWN Category'!$A$1:$B$1</definedName>
    <definedName name="_xlnm._FilterDatabase" localSheetId="10" hidden="1">'Functions by Job'!$A$1:$C$8</definedName>
    <definedName name="_xlnm._FilterDatabase" localSheetId="9" hidden="1">Functions!$A$1:$B$8</definedName>
    <definedName name="_xlnm._FilterDatabase" localSheetId="6" hidden="1">'Item Node Info'!$A$1:$F$9</definedName>
    <definedName name="_xlnm._FilterDatabase" localSheetId="1" hidden="1">'Job Details'!$A$1:$L$11</definedName>
    <definedName name="_xlnm._FilterDatabase" localSheetId="8" hidden="1">'Jobs Objects List'!$A$1:$D$3</definedName>
    <definedName name="_xlnm._FilterDatabase" localSheetId="7" hidden="1">'Jobs Objects Xref'!$A$1:$C$11</definedName>
    <definedName name="_xlnm._FilterDatabase" localSheetId="4" hidden="1">'Jobs Transformations List'!$A$1:$C$6</definedName>
    <definedName name="_xlnm._FilterDatabase" localSheetId="3" hidden="1">'Jobs Transformations Xref'!$A$1:$J$11</definedName>
    <definedName name="_xlnm._FilterDatabase" localSheetId="14" hidden="1">'Misc Job Attributes'!$A$1:$D$1</definedName>
    <definedName name="_xlnm._FilterDatabase" localSheetId="11" hidden="1">'Subject Areas'!$A$1:$C$2</definedName>
    <definedName name="_xlnm._FilterDatabase" localSheetId="5" hidden="1">'Subjob Info'!$A$1:$E$1</definedName>
    <definedName name="_xlnm._FilterDatabase" localSheetId="13" hidden="1">'Transformation Expressions'!$A$1:$D$4</definedName>
    <definedName name="_xlnm._FilterDatabase" localSheetId="2" hidden="1">Transformations!$A$1:$F$6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  <comment ref="F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sharedStrings.xml><?xml version="1.0" encoding="utf-8"?>
<sst xmlns="http://schemas.openxmlformats.org/spreadsheetml/2006/main" count="446" uniqueCount="216">
  <si>
    <t>Run date/time: 2026-03-23 15:57:58</t>
  </si>
  <si>
    <t>Code Base Details</t>
  </si>
  <si>
    <t>Total Dataflows</t>
  </si>
  <si>
    <t>Total Pipelines</t>
  </si>
  <si>
    <t>Total Nodes</t>
  </si>
  <si>
    <t>Analyzer Version: 5.6.6 Build 20251204</t>
  </si>
  <si>
    <t>Command Line Options:</t>
  </si>
  <si>
    <t>Option</t>
  </si>
  <si>
    <t>Value</t>
  </si>
  <si>
    <t>-E</t>
  </si>
  <si>
    <t>-F</t>
  </si>
  <si>
    <t>-Q</t>
  </si>
  <si>
    <t>ALL</t>
  </si>
  <si>
    <t>-d</t>
  </si>
  <si>
    <t>/Users/eri.adepoju/Claude/synapse-lakebridge-test/lakebridge_input_adf</t>
  </si>
  <si>
    <t>-e</t>
  </si>
  <si>
    <t>-j</t>
  </si>
  <si>
    <t>/Users/eri.adepoju/Claude/synapse-lakebridge-test/adf-analyzer-results.json</t>
  </si>
  <si>
    <t>-r</t>
  </si>
  <si>
    <t>/Users/eri.adepoju/Claude/synapse-lakebridge-test/adf-analyzer-results.xlsx</t>
  </si>
  <si>
    <t>-t</t>
  </si>
  <si>
    <t>ADF</t>
  </si>
  <si>
    <t>Analyzer run duration:</t>
  </si>
  <si>
    <t>0h, 0m, 0s</t>
  </si>
  <si>
    <t>Job Name</t>
  </si>
  <si>
    <t>Folder</t>
  </si>
  <si>
    <t>Source File</t>
  </si>
  <si>
    <t>Included</t>
  </si>
  <si>
    <t>Job Type</t>
  </si>
  <si>
    <t>Categorization</t>
  </si>
  <si>
    <t>Number of Nodes</t>
  </si>
  <si>
    <t>Categorization Metrics</t>
  </si>
  <si>
    <t>Legacy Checksum</t>
  </si>
  <si>
    <t>Checksum Extended</t>
  </si>
  <si>
    <t>LineStart</t>
  </si>
  <si>
    <t>LineEnd</t>
  </si>
  <si>
    <t>copy_activity</t>
  </si>
  <si>
    <t>/Users/eri.adepoju/Claude/synapse-lakebridge-test/lakebridge_input_adf/copy_activity.json</t>
  </si>
  <si>
    <t>YES</t>
  </si>
  <si>
    <t>Pipeline</t>
  </si>
  <si>
    <t>LOW</t>
  </si>
  <si>
    <t>Node count: 1,  count: 0, Target count: 0, Joiner count: 0, Aggregator count: 0, Lookup count: 0,  count: 0, Expressions with 5 or more function calls: 0, Medium category breaks: 0, High category breaks: 0</t>
  </si>
  <si>
    <t>5CC41DE79B793C90E4D72F48939FCF74</t>
  </si>
  <si>
    <t>7fd22b023fb9c4fc318a343a4d0f85df5f163b3f7258f39bbe8051b8aa781cf51774c30a7915130180bab3f2fc8068c1a7bf90f3d86a967f1ed36fe8db4192e2f0e9b948a63178ea</t>
  </si>
  <si>
    <t>data_flow</t>
  </si>
  <si>
    <t>/Users/eri.adepoju/Claude/synapse-lakebridge-test/lakebridge_input_adf/data_flow.json</t>
  </si>
  <si>
    <t>DataFlow</t>
  </si>
  <si>
    <t>Node count: 3,  count: 0, Target count: 0, Joiner count: 0, Aggregator count: 0, Lookup count: 0,  count: 0, Expressions with 5 or more function calls: 0, Medium category breaks: 0, High category breaks: 0</t>
  </si>
  <si>
    <t>BD301B66CB18AC8C239B963430667041</t>
  </si>
  <si>
    <t>7b14cf64eaaedff2f27ed3fbfaa5a5bf8ebf812fbb72b8f1b98105424af19f431774c30a7915130180bab3f2fc8068c1a7bf90f3d86a967fdacf1913748423d15a25a6ec9a6dc07f</t>
  </si>
  <si>
    <t>data_flow_pipeline</t>
  </si>
  <si>
    <t>/Users/eri.adepoju/Claude/synapse-lakebridge-test/lakebridge_input_adf/data_flow_pipeline.json</t>
  </si>
  <si>
    <t>E8C5BA48C83678E4C6783E8D5AF9A330</t>
  </si>
  <si>
    <t>e64419c86805b6c60fce8e4ab04bfbf106124c1e1b1397bc678e1ade8071816d1774c30a7915130180bab3f2fc8068c1a7bf90f3d86a967fdacf1913748423d1dda1e83adfffa8c7bfc6a05336b280c3</t>
  </si>
  <si>
    <t>ds_adls_lineitem_parquet</t>
  </si>
  <si>
    <t>/Users/eri.adepoju/Claude/synapse-lakebridge-test/lakebridge_input_adf/ds_adls_lineitem_parquet.json</t>
  </si>
  <si>
    <t>Node count: ,  count: 0, Target count: 0, Joiner count: 0, Aggregator count: 0, Lookup count: 0,  count: 0, Expressions with 5 or more function calls: 0, Medium category breaks: 0, High category breaks: 0</t>
  </si>
  <si>
    <t>84EF6887E3078C53BFA561279329FDD5</t>
  </si>
  <si>
    <t>f90da7acdd39a8f68bde85de3637f7060ee23359f014deb09fe79175a06b562d1774c30a7915130180bab3f2fc8068c1a7bf90f3d86a967fccd278e560f8523c70444f30355450adeff4c03e0220c7231798fa4fe4adac52</t>
  </si>
  <si>
    <t>ds_sqldw_customer</t>
  </si>
  <si>
    <t>/Users/eri.adepoju/Claude/synapse-lakebridge-test/lakebridge_input_adf/ds_sqldw_customer.json</t>
  </si>
  <si>
    <t>7812574C35B63551F51C7457663076A5</t>
  </si>
  <si>
    <t>ed19ffedf63bb4c5efbb8ee7649742b2363e9e54e7ff6e58e304e9920185bc971774c30a7915130180bab3f2fc8068c1a7bf90f3d86a967f35178d1efe9c88fd39a6f26ea1146b21ab28a7ec9df6bddb</t>
  </si>
  <si>
    <t>ds_sqldw_lineitem_staging</t>
  </si>
  <si>
    <t>/Users/eri.adepoju/Claude/synapse-lakebridge-test/lakebridge_input_adf/ds_sqldw_lineitem_staging.json</t>
  </si>
  <si>
    <t>7508A22329BCA0E94B2FE2D5B091750C</t>
  </si>
  <si>
    <t>8dabf36072babacfb0e9a79464083b72e3165c6a6bb7620abcbf45b0fde2d3d31774c30a7915130180bab3f2fc8068c1a7bf90f3d86a967f35178d1efe9c88fd8aa6d2cbf17511d7d001ab9745c7396cb7639745e3a5ded0</t>
  </si>
  <si>
    <t>ds_sqldw_orders</t>
  </si>
  <si>
    <t>/Users/eri.adepoju/Claude/synapse-lakebridge-test/lakebridge_input_adf/ds_sqldw_orders.json</t>
  </si>
  <si>
    <t>43293DC1DF9725D3024B08B9BCA21347</t>
  </si>
  <si>
    <t>490b83b71bb9b35a8b417dae71fc7a4d971300bb7b078d7f658e0fed4bd261261774c30a7915130180bab3f2fc8068c1a7bf90f3d86a967f35178d1efe9c88fd6537c1d5a559cd801b9564e0fedc9907</t>
  </si>
  <si>
    <t>ds_sqldw_revenue_by_segment</t>
  </si>
  <si>
    <t>/Users/eri.adepoju/Claude/synapse-lakebridge-test/lakebridge_input_adf/ds_sqldw_revenue_by_segment.json</t>
  </si>
  <si>
    <t>3C53E60403A811D3E06F6BC7802F21C6</t>
  </si>
  <si>
    <t>94f1faefa666796c5be78a3213226cb729a726b48cbb43d5f58d33b2e82f32001774c30a7915130180bab3f2fc8068c1a7bf90f3d86a967f35178d1efe9c88fda5a9e614b3cbf77cc4ee144563eff32ae339bd56b961cdcd</t>
  </si>
  <si>
    <t>ls_adls</t>
  </si>
  <si>
    <t>/Users/eri.adepoju/Claude/synapse-lakebridge-test/lakebridge_input_adf/ls_adls.json</t>
  </si>
  <si>
    <t>E99AD4A3F875F58E1B8FBC9BE824A882</t>
  </si>
  <si>
    <t>0da71a7fe863d63a3d81172064ba19b0219fd81c04123b92589de8dbd5ed41451774c30a7915130180bab3f2fc8068c1a7bf90f3d86a967faccfd028beb9f8811b9564e0fedc9907</t>
  </si>
  <si>
    <t>ls_dedicated_pool</t>
  </si>
  <si>
    <t>/Users/eri.adepoju/Claude/synapse-lakebridge-test/lakebridge_input_adf/ls_dedicated_pool.json</t>
  </si>
  <si>
    <t>26B9B100C4D6D643AAE7F8261F63D3BE</t>
  </si>
  <si>
    <t>b389c200b1dde8b4748d1f7edc710452c4e2761a015afac1a20c325af57563461774c30a7915130180bab3f2fc8068c1a7bf90f3d86a967f656d1d5fe02727f440dab18c5451c303a83cb43af0f310b1</t>
  </si>
  <si>
    <t>Job Complexity Categorization</t>
  </si>
  <si>
    <t>MEDIUM</t>
  </si>
  <si>
    <t>HIGH</t>
  </si>
  <si>
    <t>VERY_HIGH</t>
  </si>
  <si>
    <t>Transformation Type</t>
  </si>
  <si>
    <t># of Occurrences</t>
  </si>
  <si>
    <t>Occurs in # of Jobs</t>
  </si>
  <si>
    <t>Supported?</t>
  </si>
  <si>
    <t>Mapped Type</t>
  </si>
  <si>
    <t>Component Level</t>
  </si>
  <si>
    <t>ExecuteDataFlow</t>
  </si>
  <si>
    <t>Yes</t>
  </si>
  <si>
    <t>Orchestration</t>
  </si>
  <si>
    <t>join</t>
  </si>
  <si>
    <t>JOINER</t>
  </si>
  <si>
    <t>Transformation</t>
  </si>
  <si>
    <t>aggregate</t>
  </si>
  <si>
    <t>AGGREGATOR</t>
  </si>
  <si>
    <t>Copy</t>
  </si>
  <si>
    <t>No</t>
  </si>
  <si>
    <t>derive</t>
  </si>
  <si>
    <t>EXPRESSION</t>
  </si>
  <si>
    <t>Priority</t>
  </si>
  <si>
    <t>Job</t>
  </si>
  <si>
    <t>Count</t>
  </si>
  <si>
    <t>Parent Item</t>
  </si>
  <si>
    <t>Child Item</t>
  </si>
  <si>
    <t>Parent Type</t>
  </si>
  <si>
    <t>Child Type</t>
  </si>
  <si>
    <t>Item</t>
  </si>
  <si>
    <t>Node Name</t>
  </si>
  <si>
    <t>Orig Node Type</t>
  </si>
  <si>
    <t>Conformed Node Type</t>
  </si>
  <si>
    <t>Node Order</t>
  </si>
  <si>
    <t>Subjob Ref</t>
  </si>
  <si>
    <t>CopyLineitemFromADLS</t>
  </si>
  <si>
    <t>Subjob Lineage</t>
  </si>
  <si>
    <t>CustomerSource</t>
  </si>
  <si>
    <t>SOURCE</t>
  </si>
  <si>
    <t>DerivedColumns</t>
  </si>
  <si>
    <t>RevenueSink</t>
  </si>
  <si>
    <t>sink</t>
  </si>
  <si>
    <t>TARGET</t>
  </si>
  <si>
    <t>AggregateBySegment</t>
  </si>
  <si>
    <t>OrdersSource</t>
  </si>
  <si>
    <t>JoinOrdersCustomer</t>
  </si>
  <si>
    <t>RunRevenueDataFlow</t>
  </si>
  <si>
    <t>tgt</t>
  </si>
  <si>
    <t>source</t>
  </si>
  <si>
    <t>src</t>
  </si>
  <si>
    <t>Object Instance</t>
  </si>
  <si>
    <t>Source/Target Indicator</t>
  </si>
  <si>
    <t>Connection</t>
  </si>
  <si>
    <t>Object Name</t>
  </si>
  <si>
    <t>Target</t>
  </si>
  <si>
    <t>Source</t>
  </si>
  <si>
    <t>Function</t>
  </si>
  <si>
    <t># of Calls</t>
  </si>
  <si>
    <t>TOSTRING</t>
  </si>
  <si>
    <t>MONTH</t>
  </si>
  <si>
    <t>YEAR</t>
  </si>
  <si>
    <t>CONCAT</t>
  </si>
  <si>
    <t>IIF</t>
  </si>
  <si>
    <t>TOFLOAT</t>
  </si>
  <si>
    <t>UPPER</t>
  </si>
  <si>
    <t>Subject Area Name</t>
  </si>
  <si>
    <t>Subject Area Code</t>
  </si>
  <si>
    <t>Description</t>
  </si>
  <si>
    <t>ETL Job Name</t>
  </si>
  <si>
    <t>Level</t>
  </si>
  <si>
    <t>Extended Checksum</t>
  </si>
  <si>
    <t>ETL</t>
  </si>
  <si>
    <t>Field</t>
  </si>
  <si>
    <t>Expression</t>
  </si>
  <si>
    <t>fiscal_quarter</t>
  </si>
  <si>
    <t xml:space="preserve">iif(month(o_orderdate) &gt;= 2,
         concat('FY', toString(year(o_orderdate) % 100), 'Q', toString(((month(o_orderdate) + 10) % 12) / 3 + 1)),
         concat('FY', toString((year(o_orderdate) - 1) % 100), 'Q', toString(((month(o_orderdate) + 10) % 12) / 3 + 1)))
</t>
  </si>
  <si>
    <t>segment_upper</t>
  </si>
  <si>
    <t>upper(c_mktsegment)</t>
  </si>
  <si>
    <t>total_price_float</t>
  </si>
  <si>
    <t>toFloat(o_totalprice)</t>
  </si>
  <si>
    <t>Node</t>
  </si>
  <si>
    <t>Attribute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</si>
  <si>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</si>
  <si>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</si>
  <si>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</si>
  <si>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</si>
  <si>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</si>
  <si>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</si>
  <si>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</si>
  <si>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</si>
  <si>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</si>
  <si>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</si>
  <si>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</si>
  <si>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</si>
  <si>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</si>
  <si>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</si>
  <si>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</si>
  <si>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</si>
  <si>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</si>
  <si>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</si>
  <si>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</si>
  <si>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0h, 0m, 10s</t>
  </si>
  <si>
    <t>Program Name</t>
  </si>
  <si>
    <t>Line Count</t>
  </si>
  <si>
    <t>Complexity</t>
  </si>
  <si>
    <t>Statement Count</t>
  </si>
  <si>
    <t>Procedure And Function Counts</t>
  </si>
  <si>
    <t>Script Category</t>
  </si>
  <si>
    <t>Script Type</t>
  </si>
  <si>
    <t>SQL Script Categories</t>
  </si>
  <si>
    <t>SQL unknown category scripts</t>
  </si>
  <si>
    <t>SQL</t>
  </si>
  <si>
    <t>Procedure or Function</t>
  </si>
  <si>
    <t>Worksheet Index</t>
  </si>
  <si>
    <t>Summary</t>
  </si>
  <si>
    <t>Job Details</t>
  </si>
  <si>
    <t>Transformations</t>
  </si>
  <si>
    <t>Jobs Transformations Xref</t>
  </si>
  <si>
    <t>Jobs Transformations List</t>
  </si>
  <si>
    <t>Subjob Info</t>
  </si>
  <si>
    <t>Item Node Info</t>
  </si>
  <si>
    <t>Jobs Objects Xref</t>
  </si>
  <si>
    <t>Jobs Objects List</t>
  </si>
  <si>
    <t>Functions</t>
  </si>
  <si>
    <t>Functions by Job</t>
  </si>
  <si>
    <t>Subject Areas</t>
  </si>
  <si>
    <t>Combined Checksums</t>
  </si>
  <si>
    <t>Transformation Expressions</t>
  </si>
  <si>
    <t>Misc Job Attributes</t>
  </si>
  <si>
    <t>Embedded SQL Summary</t>
  </si>
  <si>
    <t>Embedded SQL Programs</t>
  </si>
  <si>
    <t>Embedded SQL Script Categories</t>
  </si>
  <si>
    <t>Embedded SQL UNKNOWN Category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</si>
</sst>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5.7109375" customWidth="1"/>
    <col min="2" max="2" width="1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196</v>
      </c>
      <c r="E1" s="2" t="s">
        <v>5</v>
      </c>
      <c r="F1" s="2"/>
    </row>
    <row r="2" spans="1:6">
      <c r="D2" s="3" t="s">
        <v>197</v>
      </c>
      <c r="E2" s="2" t="s">
        <v>6</v>
      </c>
      <c r="F2" s="2"/>
    </row>
    <row r="3" spans="1:6">
      <c r="A3" s="4" t="s">
        <v>1</v>
      </c>
      <c r="B3" s="4"/>
      <c r="D3" s="3" t="s">
        <v>198</v>
      </c>
      <c r="E3" s="2" t="s">
        <v>7</v>
      </c>
      <c r="F3" s="2" t="s">
        <v>8</v>
      </c>
    </row>
    <row r="4" spans="1:6">
      <c r="A4" s="1" t="s">
        <v>2</v>
      </c>
      <c r="B4" s="5">
        <f>COUNTIFS('Job Details'!E:E,"Dataflow")</f>
        <v>0</v>
      </c>
      <c r="D4" s="3" t="s">
        <v>199</v>
      </c>
      <c r="E4" s="2" t="s">
        <v>9</v>
      </c>
      <c r="F4" s="6"/>
    </row>
    <row r="5" spans="1:6">
      <c r="A5" s="1" t="s">
        <v>3</v>
      </c>
      <c r="B5" s="5">
        <f>COUNTIFS('Job Details'!E:E,"Pipeline")</f>
        <v>0</v>
      </c>
      <c r="D5" s="3" t="s">
        <v>200</v>
      </c>
      <c r="E5" s="2" t="s">
        <v>10</v>
      </c>
      <c r="F5" s="6">
        <v>10000000000000</v>
      </c>
    </row>
    <row r="6" spans="1:6">
      <c r="A6" s="1" t="s">
        <v>4</v>
      </c>
      <c r="B6" s="5">
        <v>5</v>
      </c>
      <c r="D6" s="3" t="s">
        <v>201</v>
      </c>
      <c r="E6" s="2" t="s">
        <v>11</v>
      </c>
      <c r="F6" s="6" t="s">
        <v>12</v>
      </c>
    </row>
    <row r="7" spans="1:6">
      <c r="D7" s="3" t="s">
        <v>202</v>
      </c>
      <c r="E7" s="2" t="s">
        <v>13</v>
      </c>
      <c r="F7" s="6" t="s">
        <v>14</v>
      </c>
    </row>
    <row r="8" spans="1:6">
      <c r="D8" s="3" t="s">
        <v>203</v>
      </c>
      <c r="E8" s="2" t="s">
        <v>15</v>
      </c>
      <c r="F8" s="6">
        <v>1</v>
      </c>
    </row>
    <row r="9" spans="1:6">
      <c r="A9" s="4" t="s">
        <v>83</v>
      </c>
      <c r="B9" s="4"/>
      <c r="D9" s="3" t="s">
        <v>204</v>
      </c>
      <c r="E9" s="2" t="s">
        <v>16</v>
      </c>
      <c r="F9" s="6" t="s">
        <v>17</v>
      </c>
    </row>
    <row r="10" spans="1:6">
      <c r="A10" s="1" t="s">
        <v>40</v>
      </c>
      <c r="B10" s="5">
        <f>COUNTIFS('Job Details'!F:F,"LOW",'Job Details'!D:D,"YES")</f>
        <v>0</v>
      </c>
      <c r="D10" s="3" t="s">
        <v>205</v>
      </c>
      <c r="E10" s="2" t="s">
        <v>18</v>
      </c>
      <c r="F10" s="6" t="s">
        <v>19</v>
      </c>
    </row>
    <row r="11" spans="1:6">
      <c r="A11" s="1" t="s">
        <v>84</v>
      </c>
      <c r="B11" s="5">
        <f>COUNTIFS('Job Details'!F:F,"MEDIUM",'Job Details'!D:D,"YES")</f>
        <v>0</v>
      </c>
      <c r="D11" s="3" t="s">
        <v>206</v>
      </c>
      <c r="E11" s="2" t="s">
        <v>20</v>
      </c>
      <c r="F11" s="6" t="s">
        <v>21</v>
      </c>
    </row>
    <row r="12" spans="1:6">
      <c r="A12" s="1" t="s">
        <v>85</v>
      </c>
      <c r="B12" s="5">
        <f>COUNTIFS('Job Details'!F:F,"HIGH",'Job Details'!D:D,"YES")</f>
        <v>0</v>
      </c>
      <c r="D12" s="3" t="s">
        <v>207</v>
      </c>
      <c r="E12" s="2" t="s">
        <v>22</v>
      </c>
    </row>
    <row r="13" spans="1:6">
      <c r="A13" s="1" t="s">
        <v>86</v>
      </c>
      <c r="B13" s="5">
        <f>COUNTIFS('Job Details'!F:F,"VERY_HIGH",'Job Details'!D:D,"YES")</f>
        <v>0</v>
      </c>
      <c r="D13" s="3" t="s">
        <v>208</v>
      </c>
      <c r="E13" s="6" t="s">
        <v>23</v>
      </c>
    </row>
    <row r="14" spans="1:6">
      <c r="D14" s="3" t="s">
        <v>209</v>
      </c>
    </row>
    <row r="15" spans="1:6">
      <c r="D15" s="3" t="s">
        <v>210</v>
      </c>
    </row>
    <row r="16" spans="1:6">
      <c r="D16" s="3" t="s">
        <v>211</v>
      </c>
    </row>
    <row r="17" spans="4:4">
      <c r="D17" s="3" t="s">
        <v>212</v>
      </c>
    </row>
    <row r="18" spans="4:4">
      <c r="D18" s="3" t="s">
        <v>213</v>
      </c>
    </row>
    <row r="19" spans="4:4">
      <c r="D19" s="3" t="s">
        <v>214</v>
      </c>
    </row>
    <row r="20" spans="4:4">
      <c r="D20" s="3" t="s">
        <v>215</v>
      </c>
    </row>
  </sheetData>
  <mergeCells count="5">
    <mergeCell ref="A1:B1"/>
    <mergeCell ref="A3:B3"/>
    <mergeCell ref="E1:F1"/>
    <mergeCell ref="E2:F2"/>
    <mergeCell ref="A9:B9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Subjob Info'!A1" display="Subjob Info"/>
    <hyperlink ref="D8" location="'Item Node Info'!A1" display="Item Node Info"/>
    <hyperlink ref="D9" location="'Jobs Objects Xref'!A1" display="Jobs Objects Xref"/>
    <hyperlink ref="D10" location="'Jobs Objects List'!A1" display="Jobs Objects List"/>
    <hyperlink ref="D11" location="'Functions'!A1" display="Functions"/>
    <hyperlink ref="D12" location="'Functions by Job'!A1" display="Functions by Job"/>
    <hyperlink ref="D13" location="'Subject Areas'!A1" display="Subject Areas"/>
    <hyperlink ref="D14" location="'Combined Checksums'!A1" display="Combined Checksums"/>
    <hyperlink ref="D15" location="'Transformation Expressions'!A1" display="Transformation Expressions"/>
    <hyperlink ref="D16" location="'Misc Job Attributes'!A1" display="Misc Job Attributes"/>
    <hyperlink ref="D17" location="'Embedded SQL Summary'!A1" display="Embedded SQL Summary"/>
    <hyperlink ref="D18" location="'Embedded SQL Programs'!A1" display="Embedded SQL Programs"/>
    <hyperlink ref="D19" location="'Embedded SQL Script Categories'!A1" display="Embedded SQL Script Categories"/>
    <hyperlink ref="D20" location="'Embedded SQL UNKNOWN Category'!A1" display="Embedded SQL UNKNOWN Catego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0.7109375" customWidth="1"/>
    <col min="3" max="3" width="30.7109375" customWidth="1"/>
    <col min="4" max="4" width="10.7109375" customWidth="1"/>
    <col min="5" max="7" width="15.7109375" customWidth="1"/>
    <col min="8" max="8" width="75.7109375" customWidth="1"/>
    <col min="9" max="9" width="40.7109375" customWidth="1"/>
    <col min="10" max="11" width="15.7109375" customWidth="1"/>
  </cols>
  <sheetData>
    <row r="1" spans="1:1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</row>
    <row r="2" spans="1:13">
      <c r="A2" s="6" t="s">
        <v>36</v>
      </c>
      <c r="B2" s="6" t="s">
        <v>14</v>
      </c>
      <c r="C2" s="6" t="s">
        <v>37</v>
      </c>
      <c r="D2" s="6" t="s">
        <v>38</v>
      </c>
      <c r="E2" s="6" t="s">
        <v>39</v>
      </c>
      <c r="F2" s="6" t="s">
        <v>40</v>
      </c>
      <c r="G2" s="6">
        <v>1</v>
      </c>
      <c r="H2" s="6" t="s">
        <v>41</v>
      </c>
      <c r="I2" s="6" t="s">
        <v>42</v>
      </c>
      <c r="J2" s="6" t="s">
        <v>43</v>
      </c>
      <c r="K2" s="6"/>
      <c r="L2" s="6"/>
      <c r="M2" s="6"/>
    </row>
    <row r="3" spans="1:13">
      <c r="A3" s="6" t="s">
        <v>44</v>
      </c>
      <c r="B3" s="6" t="s">
        <v>14</v>
      </c>
      <c r="C3" s="6" t="s">
        <v>45</v>
      </c>
      <c r="D3" s="6" t="s">
        <v>38</v>
      </c>
      <c r="E3" s="6" t="s">
        <v>46</v>
      </c>
      <c r="F3" s="6" t="s">
        <v>40</v>
      </c>
      <c r="G3" s="6">
        <v>3</v>
      </c>
      <c r="H3" s="6" t="s">
        <v>47</v>
      </c>
      <c r="I3" s="6" t="s">
        <v>48</v>
      </c>
      <c r="J3" s="6" t="s">
        <v>49</v>
      </c>
      <c r="K3" s="6"/>
      <c r="L3" s="6"/>
      <c r="M3" s="6"/>
    </row>
    <row r="4" spans="1:13">
      <c r="A4" s="6" t="s">
        <v>50</v>
      </c>
      <c r="B4" s="6" t="s">
        <v>14</v>
      </c>
      <c r="C4" s="6" t="s">
        <v>51</v>
      </c>
      <c r="D4" s="6" t="s">
        <v>38</v>
      </c>
      <c r="E4" s="6" t="s">
        <v>39</v>
      </c>
      <c r="F4" s="6" t="s">
        <v>40</v>
      </c>
      <c r="G4" s="6">
        <v>1</v>
      </c>
      <c r="H4" s="6" t="s">
        <v>41</v>
      </c>
      <c r="I4" s="6" t="s">
        <v>52</v>
      </c>
      <c r="J4" s="6" t="s">
        <v>53</v>
      </c>
      <c r="K4" s="6"/>
      <c r="L4" s="6"/>
      <c r="M4" s="6"/>
    </row>
    <row r="5" spans="1:13">
      <c r="A5" s="6" t="s">
        <v>54</v>
      </c>
      <c r="B5" s="6" t="s">
        <v>14</v>
      </c>
      <c r="C5" s="6" t="s">
        <v>55</v>
      </c>
      <c r="D5" s="6" t="s">
        <v>38</v>
      </c>
      <c r="E5" s="6" t="s">
        <v>39</v>
      </c>
      <c r="F5" s="6" t="s">
        <v>40</v>
      </c>
      <c r="G5" s="6"/>
      <c r="H5" s="6" t="s">
        <v>56</v>
      </c>
      <c r="I5" s="6" t="s">
        <v>57</v>
      </c>
      <c r="J5" s="6" t="s">
        <v>58</v>
      </c>
      <c r="K5" s="6"/>
      <c r="L5" s="6"/>
      <c r="M5" s="6"/>
    </row>
    <row r="6" spans="1:13">
      <c r="A6" s="6" t="s">
        <v>59</v>
      </c>
      <c r="B6" s="6" t="s">
        <v>14</v>
      </c>
      <c r="C6" s="6" t="s">
        <v>60</v>
      </c>
      <c r="D6" s="6" t="s">
        <v>38</v>
      </c>
      <c r="E6" s="6" t="s">
        <v>39</v>
      </c>
      <c r="F6" s="6" t="s">
        <v>40</v>
      </c>
      <c r="G6" s="6"/>
      <c r="H6" s="6" t="s">
        <v>56</v>
      </c>
      <c r="I6" s="6" t="s">
        <v>61</v>
      </c>
      <c r="J6" s="6" t="s">
        <v>62</v>
      </c>
      <c r="K6" s="6"/>
      <c r="L6" s="6"/>
      <c r="M6" s="6"/>
    </row>
    <row r="7" spans="1:13">
      <c r="A7" s="6" t="s">
        <v>63</v>
      </c>
      <c r="B7" s="6" t="s">
        <v>14</v>
      </c>
      <c r="C7" s="6" t="s">
        <v>64</v>
      </c>
      <c r="D7" s="6" t="s">
        <v>38</v>
      </c>
      <c r="E7" s="6" t="s">
        <v>39</v>
      </c>
      <c r="F7" s="6" t="s">
        <v>40</v>
      </c>
      <c r="G7" s="6"/>
      <c r="H7" s="6" t="s">
        <v>56</v>
      </c>
      <c r="I7" s="6" t="s">
        <v>65</v>
      </c>
      <c r="J7" s="6" t="s">
        <v>66</v>
      </c>
      <c r="K7" s="6"/>
      <c r="L7" s="6"/>
      <c r="M7" s="6"/>
    </row>
    <row r="8" spans="1:13">
      <c r="A8" s="6" t="s">
        <v>67</v>
      </c>
      <c r="B8" s="6" t="s">
        <v>14</v>
      </c>
      <c r="C8" s="6" t="s">
        <v>68</v>
      </c>
      <c r="D8" s="6" t="s">
        <v>38</v>
      </c>
      <c r="E8" s="6" t="s">
        <v>39</v>
      </c>
      <c r="F8" s="6" t="s">
        <v>40</v>
      </c>
      <c r="G8" s="6"/>
      <c r="H8" s="6" t="s">
        <v>56</v>
      </c>
      <c r="I8" s="6" t="s">
        <v>69</v>
      </c>
      <c r="J8" s="6" t="s">
        <v>70</v>
      </c>
      <c r="K8" s="6"/>
      <c r="L8" s="6"/>
      <c r="M8" s="6"/>
    </row>
    <row r="9" spans="1:13">
      <c r="A9" s="6" t="s">
        <v>71</v>
      </c>
      <c r="B9" s="6" t="s">
        <v>14</v>
      </c>
      <c r="C9" s="6" t="s">
        <v>72</v>
      </c>
      <c r="D9" s="6" t="s">
        <v>38</v>
      </c>
      <c r="E9" s="6" t="s">
        <v>39</v>
      </c>
      <c r="F9" s="6" t="s">
        <v>40</v>
      </c>
      <c r="G9" s="6"/>
      <c r="H9" s="6" t="s">
        <v>56</v>
      </c>
      <c r="I9" s="6" t="s">
        <v>73</v>
      </c>
      <c r="J9" s="6" t="s">
        <v>74</v>
      </c>
      <c r="K9" s="6"/>
      <c r="L9" s="6"/>
      <c r="M9" s="6"/>
    </row>
    <row r="10" spans="1:13">
      <c r="A10" s="6" t="s">
        <v>75</v>
      </c>
      <c r="B10" s="6" t="s">
        <v>14</v>
      </c>
      <c r="C10" s="6" t="s">
        <v>76</v>
      </c>
      <c r="D10" s="6" t="s">
        <v>38</v>
      </c>
      <c r="E10" s="6" t="s">
        <v>39</v>
      </c>
      <c r="F10" s="6" t="s">
        <v>40</v>
      </c>
      <c r="G10" s="6"/>
      <c r="H10" s="6" t="s">
        <v>56</v>
      </c>
      <c r="I10" s="6" t="s">
        <v>77</v>
      </c>
      <c r="J10" s="6" t="s">
        <v>78</v>
      </c>
      <c r="K10" s="6"/>
      <c r="L10" s="6"/>
      <c r="M10" s="6"/>
    </row>
    <row r="11" spans="1:13">
      <c r="A11" s="6" t="s">
        <v>79</v>
      </c>
      <c r="B11" s="6" t="s">
        <v>14</v>
      </c>
      <c r="C11" s="6" t="s">
        <v>80</v>
      </c>
      <c r="D11" s="6" t="s">
        <v>38</v>
      </c>
      <c r="E11" s="6" t="s">
        <v>39</v>
      </c>
      <c r="F11" s="6" t="s">
        <v>40</v>
      </c>
      <c r="G11" s="6"/>
      <c r="H11" s="6" t="s">
        <v>56</v>
      </c>
      <c r="I11" s="6" t="s">
        <v>81</v>
      </c>
      <c r="J11" s="6" t="s">
        <v>82</v>
      </c>
      <c r="K11" s="6"/>
      <c r="L11" s="6"/>
      <c r="M11" s="6"/>
    </row>
  </sheetData>
  <autoFilter ref="A1:L11"/>
  <conditionalFormatting sqref="A2:I9999">
    <cfRule type="expression" dxfId="0" priority="1">
      <formula>AND($A2 &lt;&gt; "", $D2 &lt;&gt; "YES")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30.7109375" customWidth="1"/>
    <col min="2" max="4" width="15.7109375" customWidth="1"/>
    <col min="5" max="6" width="30.7109375" customWidth="1"/>
    <col min="10" max="11" width="0" customWidth="1"/>
    <col min="13" max="14" width="0" customWidth="1"/>
  </cols>
  <sheetData>
    <row r="1" spans="1:14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14">
      <c r="A2" s="6" t="s">
        <v>93</v>
      </c>
      <c r="B2" s="6">
        <f>SUMIFS(INDIRECT("'Jobs Transformations Xref'!"&amp;K2&amp;":"&amp;K2),'Jobs Transformations Xref'!B:B,"YES")</f>
        <v>0</v>
      </c>
      <c r="C2" s="6">
        <f>COUNTIFS(INDIRECT("'Jobs Transformations Xref'!"&amp;K2&amp;":"&amp;K2),"&gt;=1",'Jobs Transformations Xref'!B:B,"YES")</f>
        <v>0</v>
      </c>
      <c r="D2" s="6" t="s">
        <v>94</v>
      </c>
      <c r="E2" s="6" t="s">
        <v>93</v>
      </c>
      <c r="F2" s="6" t="s">
        <v>95</v>
      </c>
      <c r="J2" s="6">
        <f>MATCH(A2,'Jobs Transformations Xref'!$1:$1,0)</f>
        <v>0</v>
      </c>
      <c r="K2" s="6">
        <f>SUBSTITUTE( ADDRESS(1,J2,4),"1","")</f>
        <v>0</v>
      </c>
      <c r="M2" s="6">
        <v>1</v>
      </c>
      <c r="N2" s="6">
        <v>1</v>
      </c>
    </row>
    <row r="3" spans="1:14">
      <c r="A3" s="6" t="s">
        <v>96</v>
      </c>
      <c r="B3" s="6">
        <f>SUMIFS(INDIRECT("'Jobs Transformations Xref'!"&amp;K3&amp;":"&amp;K3),'Jobs Transformations Xref'!B:B,"YES")</f>
        <v>0</v>
      </c>
      <c r="C3" s="6">
        <f>COUNTIFS(INDIRECT("'Jobs Transformations Xref'!"&amp;K3&amp;":"&amp;K3),"&gt;=1",'Jobs Transformations Xref'!B:B,"YES")</f>
        <v>0</v>
      </c>
      <c r="D3" s="6" t="s">
        <v>94</v>
      </c>
      <c r="E3" s="6" t="s">
        <v>97</v>
      </c>
      <c r="F3" s="6" t="s">
        <v>98</v>
      </c>
      <c r="J3" s="6">
        <f>MATCH(A3,'Jobs Transformations Xref'!$1:$1,0)</f>
        <v>0</v>
      </c>
      <c r="K3" s="6">
        <f>SUBSTITUTE( ADDRESS(1,J3,4),"1","")</f>
        <v>0</v>
      </c>
      <c r="M3" s="6">
        <v>1</v>
      </c>
      <c r="N3" s="6">
        <v>1</v>
      </c>
    </row>
    <row r="4" spans="1:14">
      <c r="A4" s="6" t="s">
        <v>99</v>
      </c>
      <c r="B4" s="6">
        <f>SUMIFS(INDIRECT("'Jobs Transformations Xref'!"&amp;K4&amp;":"&amp;K4),'Jobs Transformations Xref'!B:B,"YES")</f>
        <v>0</v>
      </c>
      <c r="C4" s="6">
        <f>COUNTIFS(INDIRECT("'Jobs Transformations Xref'!"&amp;K4&amp;":"&amp;K4),"&gt;=1",'Jobs Transformations Xref'!B:B,"YES")</f>
        <v>0</v>
      </c>
      <c r="D4" s="6" t="s">
        <v>94</v>
      </c>
      <c r="E4" s="6" t="s">
        <v>100</v>
      </c>
      <c r="F4" s="6" t="s">
        <v>98</v>
      </c>
      <c r="J4" s="6">
        <f>MATCH(A4,'Jobs Transformations Xref'!$1:$1,0)</f>
        <v>0</v>
      </c>
      <c r="K4" s="6">
        <f>SUBSTITUTE( ADDRESS(1,J4,4),"1","")</f>
        <v>0</v>
      </c>
      <c r="M4" s="6">
        <v>1</v>
      </c>
      <c r="N4" s="6">
        <v>1</v>
      </c>
    </row>
    <row r="5" spans="1:14">
      <c r="A5" s="6" t="s">
        <v>101</v>
      </c>
      <c r="B5" s="6">
        <f>SUMIFS(INDIRECT("'Jobs Transformations Xref'!"&amp;K5&amp;":"&amp;K5),'Jobs Transformations Xref'!B:B,"YES")</f>
        <v>0</v>
      </c>
      <c r="C5" s="6">
        <f>COUNTIFS(INDIRECT("'Jobs Transformations Xref'!"&amp;K5&amp;":"&amp;K5),"&gt;=1",'Jobs Transformations Xref'!B:B,"YES")</f>
        <v>0</v>
      </c>
      <c r="D5" s="7" t="s">
        <v>102</v>
      </c>
      <c r="E5" s="6" t="s">
        <v>101</v>
      </c>
      <c r="F5" s="6" t="s">
        <v>95</v>
      </c>
      <c r="J5" s="6">
        <f>MATCH(A5,'Jobs Transformations Xref'!$1:$1,0)</f>
        <v>0</v>
      </c>
      <c r="K5" s="6">
        <f>SUBSTITUTE( ADDRESS(1,J5,4),"1","")</f>
        <v>0</v>
      </c>
      <c r="M5" s="6">
        <v>1</v>
      </c>
      <c r="N5" s="6">
        <v>1</v>
      </c>
    </row>
    <row r="6" spans="1:14">
      <c r="A6" s="6" t="s">
        <v>103</v>
      </c>
      <c r="B6" s="6">
        <f>SUMIFS(INDIRECT("'Jobs Transformations Xref'!"&amp;K6&amp;":"&amp;K6),'Jobs Transformations Xref'!B:B,"YES")</f>
        <v>0</v>
      </c>
      <c r="C6" s="6">
        <f>COUNTIFS(INDIRECT("'Jobs Transformations Xref'!"&amp;K6&amp;":"&amp;K6),"&gt;=1",'Jobs Transformations Xref'!B:B,"YES")</f>
        <v>0</v>
      </c>
      <c r="D6" s="6" t="s">
        <v>94</v>
      </c>
      <c r="E6" s="6" t="s">
        <v>104</v>
      </c>
      <c r="F6" s="6" t="s">
        <v>98</v>
      </c>
      <c r="J6" s="6">
        <f>MATCH(A6,'Jobs Transformations Xref'!$1:$1,0)</f>
        <v>0</v>
      </c>
      <c r="K6" s="6">
        <f>SUBSTITUTE( ADDRESS(1,J6,4),"1","")</f>
        <v>0</v>
      </c>
      <c r="M6" s="6">
        <v>1</v>
      </c>
      <c r="N6" s="6">
        <v>1</v>
      </c>
    </row>
  </sheetData>
  <autoFilter ref="A1:F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50.7109375" customWidth="1"/>
    <col min="2" max="6" width="6.7109375" customWidth="1"/>
    <col min="7" max="11" width="12.7109375" customWidth="1"/>
  </cols>
  <sheetData>
    <row r="1" spans="1:11">
      <c r="B1" s="2" t="s">
        <v>27</v>
      </c>
      <c r="C1" s="2" t="s">
        <v>28</v>
      </c>
      <c r="D1" s="2" t="s">
        <v>29</v>
      </c>
      <c r="E1" s="2" t="s">
        <v>30</v>
      </c>
      <c r="F1" s="2" t="s">
        <v>105</v>
      </c>
      <c r="G1" s="2" t="s">
        <v>101</v>
      </c>
      <c r="H1" s="2" t="s">
        <v>93</v>
      </c>
      <c r="I1" s="2" t="s">
        <v>99</v>
      </c>
      <c r="J1" s="2" t="s">
        <v>103</v>
      </c>
      <c r="K1" s="2" t="s">
        <v>96</v>
      </c>
    </row>
    <row r="2" spans="1:11">
      <c r="A2" s="2" t="s">
        <v>36</v>
      </c>
      <c r="B2" s="6">
        <f>'Job Details'!D2</f>
        <v>0</v>
      </c>
      <c r="C2" s="6">
        <f>'Job Details'!E2</f>
        <v>0</v>
      </c>
      <c r="D2" s="6">
        <f>'Job Details'!F2</f>
        <v>0</v>
      </c>
      <c r="E2" s="6">
        <f>'Job Details'!G2</f>
        <v>0</v>
      </c>
      <c r="G2" s="8">
        <v>1</v>
      </c>
    </row>
    <row r="3" spans="1:11">
      <c r="A3" s="2" t="s">
        <v>44</v>
      </c>
      <c r="B3" s="6">
        <f>'Job Details'!D3</f>
        <v>0</v>
      </c>
      <c r="C3" s="6">
        <f>'Job Details'!E3</f>
        <v>0</v>
      </c>
      <c r="D3" s="6">
        <f>'Job Details'!F3</f>
        <v>0</v>
      </c>
      <c r="E3" s="6">
        <f>'Job Details'!G3</f>
        <v>0</v>
      </c>
      <c r="I3" s="8">
        <v>1</v>
      </c>
      <c r="J3" s="8">
        <v>1</v>
      </c>
      <c r="K3" s="8">
        <v>1</v>
      </c>
    </row>
    <row r="4" spans="1:11">
      <c r="A4" s="2" t="s">
        <v>50</v>
      </c>
      <c r="B4" s="6">
        <f>'Job Details'!D4</f>
        <v>0</v>
      </c>
      <c r="C4" s="6">
        <f>'Job Details'!E4</f>
        <v>0</v>
      </c>
      <c r="D4" s="6">
        <f>'Job Details'!F4</f>
        <v>0</v>
      </c>
      <c r="E4" s="6">
        <f>'Job Details'!G4</f>
        <v>0</v>
      </c>
      <c r="H4" s="8">
        <v>1</v>
      </c>
    </row>
    <row r="5" spans="1:11">
      <c r="A5" s="2" t="s">
        <v>54</v>
      </c>
      <c r="B5" s="6">
        <f>'Job Details'!D5</f>
        <v>0</v>
      </c>
      <c r="C5" s="6">
        <f>'Job Details'!E5</f>
        <v>0</v>
      </c>
      <c r="D5" s="6">
        <f>'Job Details'!F5</f>
        <v>0</v>
      </c>
      <c r="E5" s="6">
        <f>'Job Details'!G5</f>
        <v>0</v>
      </c>
    </row>
    <row r="6" spans="1:11">
      <c r="A6" s="2" t="s">
        <v>59</v>
      </c>
      <c r="B6" s="6">
        <f>'Job Details'!D6</f>
        <v>0</v>
      </c>
      <c r="C6" s="6">
        <f>'Job Details'!E6</f>
        <v>0</v>
      </c>
      <c r="D6" s="6">
        <f>'Job Details'!F6</f>
        <v>0</v>
      </c>
      <c r="E6" s="6">
        <f>'Job Details'!G6</f>
        <v>0</v>
      </c>
    </row>
    <row r="7" spans="1:11">
      <c r="A7" s="2" t="s">
        <v>63</v>
      </c>
      <c r="B7" s="6">
        <f>'Job Details'!D7</f>
        <v>0</v>
      </c>
      <c r="C7" s="6">
        <f>'Job Details'!E7</f>
        <v>0</v>
      </c>
      <c r="D7" s="6">
        <f>'Job Details'!F7</f>
        <v>0</v>
      </c>
      <c r="E7" s="6">
        <f>'Job Details'!G7</f>
        <v>0</v>
      </c>
    </row>
    <row r="8" spans="1:11">
      <c r="A8" s="2" t="s">
        <v>67</v>
      </c>
      <c r="B8" s="6">
        <f>'Job Details'!D8</f>
        <v>0</v>
      </c>
      <c r="C8" s="6">
        <f>'Job Details'!E8</f>
        <v>0</v>
      </c>
      <c r="D8" s="6">
        <f>'Job Details'!F8</f>
        <v>0</v>
      </c>
      <c r="E8" s="6">
        <f>'Job Details'!G8</f>
        <v>0</v>
      </c>
    </row>
    <row r="9" spans="1:11">
      <c r="A9" s="2" t="s">
        <v>71</v>
      </c>
      <c r="B9" s="6">
        <f>'Job Details'!D9</f>
        <v>0</v>
      </c>
      <c r="C9" s="6">
        <f>'Job Details'!E9</f>
        <v>0</v>
      </c>
      <c r="D9" s="6">
        <f>'Job Details'!F9</f>
        <v>0</v>
      </c>
      <c r="E9" s="6">
        <f>'Job Details'!G9</f>
        <v>0</v>
      </c>
    </row>
    <row r="10" spans="1:11">
      <c r="A10" s="2" t="s">
        <v>75</v>
      </c>
      <c r="B10" s="6">
        <f>'Job Details'!D10</f>
        <v>0</v>
      </c>
      <c r="C10" s="6">
        <f>'Job Details'!E10</f>
        <v>0</v>
      </c>
      <c r="D10" s="6">
        <f>'Job Details'!F10</f>
        <v>0</v>
      </c>
      <c r="E10" s="6">
        <f>'Job Details'!G10</f>
        <v>0</v>
      </c>
    </row>
    <row r="11" spans="1:11">
      <c r="A11" s="2" t="s">
        <v>79</v>
      </c>
      <c r="B11" s="6">
        <f>'Job Details'!D11</f>
        <v>0</v>
      </c>
      <c r="C11" s="6">
        <f>'Job Details'!E11</f>
        <v>0</v>
      </c>
      <c r="D11" s="6">
        <f>'Job Details'!F11</f>
        <v>0</v>
      </c>
      <c r="E11" s="6">
        <f>'Job Details'!G11</f>
        <v>0</v>
      </c>
    </row>
  </sheetData>
  <autoFilter ref="A1:J1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50.7109375" customWidth="1"/>
  </cols>
  <sheetData>
    <row r="1" spans="1:3">
      <c r="A1" s="2" t="s">
        <v>106</v>
      </c>
      <c r="B1" s="2" t="s">
        <v>98</v>
      </c>
      <c r="C1" s="2" t="s">
        <v>107</v>
      </c>
    </row>
    <row r="2" spans="1:3">
      <c r="A2" s="6" t="s">
        <v>36</v>
      </c>
      <c r="B2" s="6" t="s">
        <v>101</v>
      </c>
      <c r="C2" s="6">
        <v>1</v>
      </c>
    </row>
    <row r="3" spans="1:3">
      <c r="A3" s="6" t="s">
        <v>50</v>
      </c>
      <c r="B3" s="6" t="s">
        <v>93</v>
      </c>
      <c r="C3" s="6">
        <v>1</v>
      </c>
    </row>
    <row r="4" spans="1:3">
      <c r="A4" s="6" t="s">
        <v>44</v>
      </c>
      <c r="B4" s="6" t="s">
        <v>99</v>
      </c>
      <c r="C4" s="6">
        <v>1</v>
      </c>
    </row>
    <row r="5" spans="1:3">
      <c r="A5" s="6" t="s">
        <v>44</v>
      </c>
      <c r="B5" s="6" t="s">
        <v>103</v>
      </c>
      <c r="C5" s="6">
        <v>1</v>
      </c>
    </row>
    <row r="6" spans="1:3">
      <c r="A6" s="6" t="s">
        <v>44</v>
      </c>
      <c r="B6" s="6" t="s">
        <v>96</v>
      </c>
      <c r="C6" s="6">
        <v>1</v>
      </c>
    </row>
  </sheetData>
  <autoFilter ref="A1:C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50.7109375" customWidth="1"/>
    <col min="3" max="4" width="15.7109375" customWidth="1"/>
  </cols>
  <sheetData>
    <row r="1" spans="1:5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107</v>
      </c>
    </row>
  </sheetData>
  <autoFilter ref="A1:E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5.7109375" customWidth="1"/>
    <col min="3" max="4" width="30.7109375" customWidth="1"/>
    <col min="5" max="5" width="10.7109375" customWidth="1"/>
    <col min="6" max="7" width="50.7109375" customWidth="1"/>
  </cols>
  <sheetData>
    <row r="1" spans="1:7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119</v>
      </c>
    </row>
    <row r="2" spans="1:7">
      <c r="A2" s="6" t="s">
        <v>36</v>
      </c>
      <c r="B2" s="6" t="s">
        <v>118</v>
      </c>
      <c r="C2" s="6"/>
      <c r="D2" s="6" t="s">
        <v>101</v>
      </c>
      <c r="E2" s="6"/>
      <c r="F2" s="6"/>
    </row>
    <row r="3" spans="1:7">
      <c r="A3" s="6" t="s">
        <v>44</v>
      </c>
      <c r="B3" s="6" t="s">
        <v>120</v>
      </c>
      <c r="C3" s="6" t="s">
        <v>121</v>
      </c>
      <c r="D3" s="6" t="s">
        <v>121</v>
      </c>
      <c r="E3" s="6"/>
      <c r="F3" s="6"/>
    </row>
    <row r="4" spans="1:7">
      <c r="A4" s="6" t="s">
        <v>44</v>
      </c>
      <c r="B4" s="6" t="s">
        <v>122</v>
      </c>
      <c r="C4" s="6" t="s">
        <v>103</v>
      </c>
      <c r="D4" s="6" t="s">
        <v>104</v>
      </c>
      <c r="E4" s="6"/>
      <c r="F4" s="6"/>
    </row>
    <row r="5" spans="1:7">
      <c r="A5" s="6" t="s">
        <v>44</v>
      </c>
      <c r="B5" s="6" t="s">
        <v>123</v>
      </c>
      <c r="C5" s="6" t="s">
        <v>124</v>
      </c>
      <c r="D5" s="6" t="s">
        <v>125</v>
      </c>
      <c r="E5" s="6"/>
      <c r="F5" s="6"/>
    </row>
    <row r="6" spans="1:7">
      <c r="A6" s="6" t="s">
        <v>44</v>
      </c>
      <c r="B6" s="6" t="s">
        <v>126</v>
      </c>
      <c r="C6" s="6" t="s">
        <v>99</v>
      </c>
      <c r="D6" s="6" t="s">
        <v>100</v>
      </c>
      <c r="E6" s="6"/>
      <c r="F6" s="6"/>
    </row>
    <row r="7" spans="1:7">
      <c r="A7" s="6" t="s">
        <v>44</v>
      </c>
      <c r="B7" s="6" t="s">
        <v>127</v>
      </c>
      <c r="C7" s="6" t="s">
        <v>121</v>
      </c>
      <c r="D7" s="6" t="s">
        <v>121</v>
      </c>
      <c r="E7" s="6"/>
      <c r="F7" s="6"/>
    </row>
    <row r="8" spans="1:7">
      <c r="A8" s="6" t="s">
        <v>44</v>
      </c>
      <c r="B8" s="6" t="s">
        <v>128</v>
      </c>
      <c r="C8" s="6" t="s">
        <v>96</v>
      </c>
      <c r="D8" s="6" t="s">
        <v>97</v>
      </c>
      <c r="E8" s="6"/>
      <c r="F8" s="6"/>
    </row>
    <row r="9" spans="1:7">
      <c r="A9" s="6" t="s">
        <v>50</v>
      </c>
      <c r="B9" s="6" t="s">
        <v>129</v>
      </c>
      <c r="C9" s="6"/>
      <c r="D9" s="6" t="s">
        <v>93</v>
      </c>
      <c r="E9" s="6"/>
      <c r="F9" s="6"/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" width="12.7109375" customWidth="1"/>
  </cols>
  <sheetData>
    <row r="1" spans="1:3">
      <c r="B1" s="2" t="s">
        <v>123</v>
      </c>
      <c r="C1" s="2" t="s">
        <v>131</v>
      </c>
    </row>
    <row r="2" spans="1:3">
      <c r="A2" s="2" t="s">
        <v>36</v>
      </c>
    </row>
    <row r="3" spans="1:3">
      <c r="A3" s="2" t="s">
        <v>44</v>
      </c>
      <c r="B3" s="8" t="s">
        <v>130</v>
      </c>
      <c r="C3" s="8" t="s">
        <v>132</v>
      </c>
    </row>
    <row r="4" spans="1:3">
      <c r="A4" s="2" t="s">
        <v>50</v>
      </c>
    </row>
    <row r="5" spans="1:3">
      <c r="A5" s="2" t="s">
        <v>54</v>
      </c>
    </row>
    <row r="6" spans="1:3">
      <c r="A6" s="2" t="s">
        <v>59</v>
      </c>
    </row>
    <row r="7" spans="1:3">
      <c r="A7" s="2" t="s">
        <v>63</v>
      </c>
    </row>
    <row r="8" spans="1:3">
      <c r="A8" s="2" t="s">
        <v>67</v>
      </c>
    </row>
    <row r="9" spans="1:3">
      <c r="A9" s="2" t="s">
        <v>71</v>
      </c>
    </row>
    <row r="10" spans="1:3">
      <c r="A10" s="2" t="s">
        <v>75</v>
      </c>
    </row>
    <row r="11" spans="1:3">
      <c r="A11" s="2" t="s">
        <v>79</v>
      </c>
    </row>
  </sheetData>
  <autoFilter ref="A1:C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30.7109375" customWidth="1"/>
  </cols>
  <sheetData>
    <row r="1" spans="1:5">
      <c r="A1" s="2" t="s">
        <v>106</v>
      </c>
      <c r="B1" s="2" t="s">
        <v>133</v>
      </c>
      <c r="C1" s="2" t="s">
        <v>134</v>
      </c>
      <c r="D1" s="2" t="s">
        <v>135</v>
      </c>
      <c r="E1" s="2" t="s">
        <v>136</v>
      </c>
    </row>
    <row r="2" spans="1:5">
      <c r="A2" s="6" t="s">
        <v>44</v>
      </c>
      <c r="B2" s="6" t="s">
        <v>123</v>
      </c>
      <c r="C2" s="6" t="s">
        <v>137</v>
      </c>
      <c r="D2" s="6"/>
    </row>
    <row r="3" spans="1:5">
      <c r="A3" s="6" t="s">
        <v>44</v>
      </c>
      <c r="B3" s="6" t="s">
        <v>131</v>
      </c>
      <c r="C3" s="6" t="s">
        <v>138</v>
      </c>
      <c r="D3" s="6"/>
    </row>
  </sheetData>
  <autoFilter ref="A1:D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139</v>
      </c>
      <c r="B1" s="2" t="s">
        <v>140</v>
      </c>
    </row>
    <row r="2" spans="1:2">
      <c r="A2" s="6" t="s">
        <v>141</v>
      </c>
      <c r="B2" s="6">
        <v>4</v>
      </c>
    </row>
    <row r="3" spans="1:2">
      <c r="A3" s="6" t="s">
        <v>142</v>
      </c>
      <c r="B3" s="6">
        <v>3</v>
      </c>
    </row>
    <row r="4" spans="1:2">
      <c r="A4" s="6" t="s">
        <v>143</v>
      </c>
      <c r="B4" s="6">
        <v>2</v>
      </c>
    </row>
    <row r="5" spans="1:2">
      <c r="A5" s="6" t="s">
        <v>144</v>
      </c>
      <c r="B5" s="6">
        <v>2</v>
      </c>
    </row>
    <row r="6" spans="1:2">
      <c r="A6" s="6" t="s">
        <v>145</v>
      </c>
      <c r="B6" s="6">
        <v>1</v>
      </c>
    </row>
    <row r="7" spans="1:2">
      <c r="A7" s="6" t="s">
        <v>146</v>
      </c>
      <c r="B7" s="6">
        <v>1</v>
      </c>
    </row>
    <row r="8" spans="1:2">
      <c r="A8" s="6" t="s">
        <v>147</v>
      </c>
      <c r="B8" s="6">
        <v>1</v>
      </c>
    </row>
  </sheetData>
  <autoFilter ref="A1:B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106</v>
      </c>
      <c r="B1" s="2" t="s">
        <v>139</v>
      </c>
      <c r="C1" s="2" t="s">
        <v>140</v>
      </c>
    </row>
    <row r="2" spans="1:3">
      <c r="A2" s="6" t="s">
        <v>44</v>
      </c>
      <c r="B2" s="6" t="s">
        <v>141</v>
      </c>
      <c r="C2" s="6">
        <v>4</v>
      </c>
    </row>
    <row r="3" spans="1:3">
      <c r="A3" s="6" t="s">
        <v>44</v>
      </c>
      <c r="B3" s="6" t="s">
        <v>142</v>
      </c>
      <c r="C3" s="6">
        <v>3</v>
      </c>
    </row>
    <row r="4" spans="1:3">
      <c r="A4" s="6" t="s">
        <v>44</v>
      </c>
      <c r="B4" s="6" t="s">
        <v>143</v>
      </c>
      <c r="C4" s="6">
        <v>2</v>
      </c>
    </row>
    <row r="5" spans="1:3">
      <c r="A5" s="6" t="s">
        <v>44</v>
      </c>
      <c r="B5" s="6" t="s">
        <v>144</v>
      </c>
      <c r="C5" s="6">
        <v>2</v>
      </c>
    </row>
    <row r="6" spans="1:3">
      <c r="A6" s="6" t="s">
        <v>44</v>
      </c>
      <c r="B6" s="6" t="s">
        <v>147</v>
      </c>
      <c r="C6" s="6">
        <v>1</v>
      </c>
    </row>
    <row r="7" spans="1:3">
      <c r="A7" s="6" t="s">
        <v>44</v>
      </c>
      <c r="B7" s="6" t="s">
        <v>145</v>
      </c>
      <c r="C7" s="6">
        <v>1</v>
      </c>
    </row>
    <row r="8" spans="1:3">
      <c r="A8" s="6" t="s">
        <v>44</v>
      </c>
      <c r="B8" s="6" t="s">
        <v>146</v>
      </c>
      <c r="C8" s="6">
        <v>1</v>
      </c>
    </row>
  </sheetData>
  <autoFilter ref="A1:C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30.7109375" customWidth="1"/>
    <col min="3" max="3" width="80.7109375" customWidth="1"/>
  </cols>
  <sheetData>
    <row r="1" spans="1:3">
      <c r="A1" s="2" t="s">
        <v>148</v>
      </c>
      <c r="B1" s="2" t="s">
        <v>149</v>
      </c>
      <c r="C1" s="2" t="s">
        <v>150</v>
      </c>
    </row>
    <row r="2" spans="1:3">
      <c r="A2" s="6" t="s">
        <v>14</v>
      </c>
      <c r="B2" s="6" t="s">
        <v>14</v>
      </c>
      <c r="C2" s="6" t="s">
        <v>63</v>
      </c>
    </row>
  </sheetData>
  <autoFilter ref="A1:C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50.7109375" customWidth="1"/>
    <col min="2" max="2" width="30.7109375" customWidth="1"/>
    <col min="4" max="4" width="100.7109375" customWidth="1"/>
  </cols>
  <sheetData>
    <row r="1" spans="1:3">
      <c r="A1" s="2" t="s">
        <v>151</v>
      </c>
      <c r="B1" s="2" t="s">
        <v>152</v>
      </c>
      <c r="C1" s="2" t="s">
        <v>153</v>
      </c>
    </row>
    <row r="2" spans="1:3">
      <c r="A2" s="6" t="s">
        <v>36</v>
      </c>
      <c r="B2" s="6" t="s">
        <v>154</v>
      </c>
      <c r="C2" s="6" t="s">
        <v>43</v>
      </c>
    </row>
    <row r="3" spans="1:3">
      <c r="A3" s="6" t="s">
        <v>44</v>
      </c>
      <c r="B3" s="6" t="s">
        <v>154</v>
      </c>
      <c r="C3" s="6" t="s">
        <v>49</v>
      </c>
    </row>
    <row r="4" spans="1:3">
      <c r="A4" s="6" t="s">
        <v>50</v>
      </c>
      <c r="B4" s="6" t="s">
        <v>154</v>
      </c>
      <c r="C4" s="6" t="s">
        <v>53</v>
      </c>
    </row>
    <row r="5" spans="1:3">
      <c r="A5" s="6" t="s">
        <v>54</v>
      </c>
      <c r="B5" s="6" t="s">
        <v>154</v>
      </c>
      <c r="C5" s="6" t="s">
        <v>58</v>
      </c>
    </row>
    <row r="6" spans="1:3">
      <c r="A6" s="6" t="s">
        <v>59</v>
      </c>
      <c r="B6" s="6" t="s">
        <v>154</v>
      </c>
      <c r="C6" s="6" t="s">
        <v>62</v>
      </c>
    </row>
    <row r="7" spans="1:3">
      <c r="A7" s="6" t="s">
        <v>63</v>
      </c>
      <c r="B7" s="6" t="s">
        <v>154</v>
      </c>
      <c r="C7" s="6" t="s">
        <v>66</v>
      </c>
    </row>
    <row r="8" spans="1:3">
      <c r="A8" s="6" t="s">
        <v>67</v>
      </c>
      <c r="B8" s="6" t="s">
        <v>154</v>
      </c>
      <c r="C8" s="6" t="s">
        <v>70</v>
      </c>
    </row>
    <row r="9" spans="1:3">
      <c r="A9" s="6" t="s">
        <v>71</v>
      </c>
      <c r="B9" s="6" t="s">
        <v>154</v>
      </c>
      <c r="C9" s="6" t="s">
        <v>74</v>
      </c>
    </row>
    <row r="10" spans="1:3">
      <c r="A10" s="6" t="s">
        <v>75</v>
      </c>
      <c r="B10" s="6" t="s">
        <v>154</v>
      </c>
      <c r="C10" s="6" t="s">
        <v>78</v>
      </c>
    </row>
    <row r="11" spans="1:3">
      <c r="A11" s="6" t="s">
        <v>79</v>
      </c>
      <c r="B11" s="6" t="s">
        <v>154</v>
      </c>
      <c r="C11" s="6" t="s">
        <v>82</v>
      </c>
    </row>
  </sheetData>
  <autoFilter ref="A1:C1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50.7109375" customWidth="1"/>
    <col min="4" max="4" width="100.7109375" customWidth="1"/>
  </cols>
  <sheetData>
    <row r="1" spans="1:4">
      <c r="A1" s="2" t="s">
        <v>106</v>
      </c>
      <c r="B1" s="2" t="s">
        <v>98</v>
      </c>
      <c r="C1" s="2" t="s">
        <v>155</v>
      </c>
      <c r="D1" s="2" t="s">
        <v>156</v>
      </c>
    </row>
    <row r="2" spans="1:4">
      <c r="A2" s="6" t="s">
        <v>44</v>
      </c>
      <c r="B2" s="6" t="s">
        <v>122</v>
      </c>
      <c r="C2" s="6" t="s">
        <v>157</v>
      </c>
      <c r="D2" s="6" t="s">
        <v>158</v>
      </c>
    </row>
    <row r="3" spans="1:4">
      <c r="A3" s="6" t="s">
        <v>44</v>
      </c>
      <c r="B3" s="6" t="s">
        <v>122</v>
      </c>
      <c r="C3" s="6" t="s">
        <v>159</v>
      </c>
      <c r="D3" s="6" t="s">
        <v>160</v>
      </c>
    </row>
    <row r="4" spans="1:4">
      <c r="A4" s="6" t="s">
        <v>44</v>
      </c>
      <c r="B4" s="6" t="s">
        <v>122</v>
      </c>
      <c r="C4" s="6" t="s">
        <v>161</v>
      </c>
      <c r="D4" s="6" t="s">
        <v>162</v>
      </c>
    </row>
  </sheetData>
  <autoFilter ref="A1:D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</cols>
  <sheetData>
    <row r="1" spans="1:4">
      <c r="A1" s="2" t="s">
        <v>24</v>
      </c>
      <c r="B1" s="2" t="s">
        <v>163</v>
      </c>
      <c r="C1" s="2" t="s">
        <v>164</v>
      </c>
      <c r="D1" s="2" t="s">
        <v>8</v>
      </c>
    </row>
  </sheetData>
  <autoFilter ref="A1:D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196</v>
      </c>
      <c r="E1" s="2" t="s">
        <v>5</v>
      </c>
      <c r="F1" s="2"/>
    </row>
    <row r="2" spans="1:6">
      <c r="D2" s="3" t="s">
        <v>197</v>
      </c>
      <c r="E2" s="2" t="s">
        <v>6</v>
      </c>
      <c r="F2" s="2"/>
    </row>
    <row r="3" spans="1:6">
      <c r="A3" s="4" t="s">
        <v>1</v>
      </c>
      <c r="B3" s="4"/>
      <c r="D3" s="3" t="s">
        <v>198</v>
      </c>
      <c r="E3" s="2" t="s">
        <v>7</v>
      </c>
      <c r="F3" s="2" t="s">
        <v>8</v>
      </c>
    </row>
    <row r="4" spans="1:6">
      <c r="A4" s="1" t="s">
        <v>165</v>
      </c>
      <c r="B4" s="5">
        <v>0</v>
      </c>
      <c r="D4" s="3" t="s">
        <v>199</v>
      </c>
      <c r="E4" s="2" t="s">
        <v>9</v>
      </c>
      <c r="F4" s="6"/>
    </row>
    <row r="5" spans="1:6">
      <c r="A5" s="1" t="s">
        <v>166</v>
      </c>
      <c r="B5" s="5">
        <v>0</v>
      </c>
      <c r="D5" s="3" t="s">
        <v>200</v>
      </c>
      <c r="E5" s="2" t="s">
        <v>10</v>
      </c>
      <c r="F5" s="6">
        <v>10000000000000</v>
      </c>
    </row>
    <row r="6" spans="1:6">
      <c r="A6" s="1" t="s">
        <v>167</v>
      </c>
      <c r="B6" s="5">
        <v>0</v>
      </c>
      <c r="D6" s="3" t="s">
        <v>201</v>
      </c>
      <c r="E6" s="2" t="s">
        <v>11</v>
      </c>
      <c r="F6" s="6" t="s">
        <v>12</v>
      </c>
    </row>
    <row r="7" spans="1:6">
      <c r="A7" s="1" t="s">
        <v>168</v>
      </c>
      <c r="B7" s="5">
        <v>0</v>
      </c>
      <c r="D7" s="3" t="s">
        <v>202</v>
      </c>
      <c r="E7" s="2" t="s">
        <v>13</v>
      </c>
      <c r="F7" s="6" t="s">
        <v>14</v>
      </c>
    </row>
    <row r="8" spans="1:6">
      <c r="A8" s="1" t="s">
        <v>169</v>
      </c>
      <c r="B8" s="5">
        <v>0</v>
      </c>
      <c r="D8" s="3" t="s">
        <v>203</v>
      </c>
      <c r="E8" s="2" t="s">
        <v>15</v>
      </c>
      <c r="F8" s="6">
        <v>1</v>
      </c>
    </row>
    <row r="9" spans="1:6">
      <c r="A9" s="1" t="s">
        <v>170</v>
      </c>
      <c r="B9" s="5">
        <v>0</v>
      </c>
      <c r="D9" s="3" t="s">
        <v>204</v>
      </c>
      <c r="E9" s="2" t="s">
        <v>16</v>
      </c>
      <c r="F9" s="6" t="s">
        <v>17</v>
      </c>
    </row>
    <row r="10" spans="1:6">
      <c r="A10" s="1" t="s">
        <v>171</v>
      </c>
      <c r="B10" s="5">
        <v>0</v>
      </c>
      <c r="D10" s="3" t="s">
        <v>205</v>
      </c>
      <c r="E10" s="2" t="s">
        <v>18</v>
      </c>
      <c r="F10" s="6" t="s">
        <v>19</v>
      </c>
    </row>
    <row r="11" spans="1:6">
      <c r="A11" s="1" t="s">
        <v>172</v>
      </c>
      <c r="B11" s="5">
        <v>0</v>
      </c>
      <c r="D11" s="3" t="s">
        <v>206</v>
      </c>
      <c r="E11" s="2" t="s">
        <v>20</v>
      </c>
      <c r="F11" s="6" t="s">
        <v>21</v>
      </c>
    </row>
    <row r="12" spans="1:6">
      <c r="A12" s="1" t="s">
        <v>173</v>
      </c>
      <c r="B12" s="5">
        <v>0</v>
      </c>
      <c r="D12" s="3" t="s">
        <v>207</v>
      </c>
      <c r="E12" s="2" t="s">
        <v>22</v>
      </c>
    </row>
    <row r="13" spans="1:6">
      <c r="A13" s="1" t="s">
        <v>174</v>
      </c>
      <c r="B13" s="5">
        <v>0</v>
      </c>
      <c r="D13" s="3" t="s">
        <v>208</v>
      </c>
      <c r="E13" s="6" t="s">
        <v>184</v>
      </c>
    </row>
    <row r="14" spans="1:6">
      <c r="A14" s="1" t="s">
        <v>175</v>
      </c>
      <c r="B14" s="5">
        <v>0</v>
      </c>
      <c r="D14" s="3" t="s">
        <v>209</v>
      </c>
    </row>
    <row r="15" spans="1:6">
      <c r="A15" s="1" t="s">
        <v>176</v>
      </c>
      <c r="B15" s="5">
        <v>0</v>
      </c>
      <c r="D15" s="3" t="s">
        <v>210</v>
      </c>
    </row>
    <row r="16" spans="1:6">
      <c r="A16" s="1" t="s">
        <v>177</v>
      </c>
      <c r="B16" s="5">
        <v>0</v>
      </c>
      <c r="D16" s="3" t="s">
        <v>211</v>
      </c>
    </row>
    <row r="17" spans="1:4">
      <c r="A17" s="1" t="s">
        <v>178</v>
      </c>
      <c r="B17" s="5">
        <v>0</v>
      </c>
      <c r="D17" s="3" t="s">
        <v>212</v>
      </c>
    </row>
    <row r="18" spans="1:4">
      <c r="A18" s="1" t="s">
        <v>179</v>
      </c>
      <c r="B18" s="5">
        <v>0</v>
      </c>
      <c r="D18" s="3" t="s">
        <v>213</v>
      </c>
    </row>
    <row r="19" spans="1:4">
      <c r="A19" s="1" t="s">
        <v>180</v>
      </c>
      <c r="B19" s="5">
        <v>0</v>
      </c>
      <c r="D19" s="3" t="s">
        <v>214</v>
      </c>
    </row>
    <row r="20" spans="1:4">
      <c r="A20" s="1" t="s">
        <v>181</v>
      </c>
      <c r="B20" s="5">
        <v>0</v>
      </c>
      <c r="D20" s="3" t="s">
        <v>215</v>
      </c>
    </row>
    <row r="21" spans="1:4">
      <c r="A21" s="1" t="s">
        <v>182</v>
      </c>
      <c r="B21" s="5">
        <v>0</v>
      </c>
    </row>
    <row r="22" spans="1:4">
      <c r="A22" s="1" t="s">
        <v>183</v>
      </c>
      <c r="B22" s="5">
        <v>0</v>
      </c>
    </row>
    <row r="24" spans="1:4">
      <c r="A24" s="4" t="s">
        <v>194</v>
      </c>
      <c r="B24" s="4"/>
      <c r="C24" s="4" t="s">
        <v>154</v>
      </c>
    </row>
    <row r="25" spans="1:4">
      <c r="A25" s="4" t="s">
        <v>83</v>
      </c>
      <c r="B25" s="4"/>
      <c r="C25" s="4" t="s">
        <v>195</v>
      </c>
    </row>
    <row r="26" spans="1:4">
      <c r="A26" s="1" t="s">
        <v>40</v>
      </c>
      <c r="B26" s="5">
        <f>COUNTIFS('Embedded SQL Programs'!E:E,"LOW",'Embedded SQL Programs'!C:C,"YES",'Embedded SQL Programs'!L:L,"SQL")</f>
        <v>0</v>
      </c>
      <c r="C26" s="5">
        <f>SUMIFS('Embedded SQL Programs'!G:G,'Embedded SQL Programs'!E:E,"LOW",'Embedded SQL Programs'!C:C,"YES",'Embedded SQL Programs'!L:L,"ETL")</f>
        <v>0</v>
      </c>
    </row>
    <row r="27" spans="1:4">
      <c r="A27" s="1" t="s">
        <v>84</v>
      </c>
      <c r="B27" s="5">
        <f>COUNTIFS('Embedded SQL Programs'!E:E,"MEDIUM",'Embedded SQL Programs'!C:C,"YES",'Embedded SQL Programs'!L:L,"SQL")</f>
        <v>0</v>
      </c>
      <c r="C27" s="5">
        <f>SUMIFS('Embedded SQL Programs'!G:G,'Embedded SQL Programs'!E:E,"MEDIUM",'Embedded SQL Programs'!C:C,"YES",'Embedded SQL Programs'!L:L,"ETL")</f>
        <v>0</v>
      </c>
    </row>
    <row r="28" spans="1:4">
      <c r="A28" s="1" t="s">
        <v>85</v>
      </c>
      <c r="B28" s="5">
        <f>COUNTIFS('Embedded SQL Programs'!E:E,"HIGH",'Embedded SQL Programs'!C:C,"YES",'Embedded SQL Programs'!L:L,"SQL")</f>
        <v>0</v>
      </c>
      <c r="C28" s="5">
        <f>SUMIFS('Embedded SQL Programs'!G:G,'Embedded SQL Programs'!E:E,"HIGH",'Embedded SQL Programs'!C:C,"YES",'Embedded SQL Programs'!L:L,"ETL")</f>
        <v>0</v>
      </c>
    </row>
    <row r="29" spans="1:4">
      <c r="A29" s="1" t="s">
        <v>86</v>
      </c>
      <c r="B29" s="5">
        <f>COUNTIFS('Embedded SQL Programs'!E:E,"VERY_HIGH",'Embedded SQL Programs'!C:C,"YES",'Embedded SQL Programs'!L:L,"SQL")</f>
        <v>0</v>
      </c>
      <c r="C29" s="5">
        <f>SUMIFS('Embedded SQL Programs'!G:G,'Embedded SQL Programs'!E:E,"VERY_HIGH",'Embedded SQL Programs'!C:C,"YES",'Embedded 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Subjob Info'!A1" display="Subjob Info"/>
    <hyperlink ref="D8" location="'Item Node Info'!A1" display="Item Node Info"/>
    <hyperlink ref="D9" location="'Jobs Objects Xref'!A1" display="Jobs Objects Xref"/>
    <hyperlink ref="D10" location="'Jobs Objects List'!A1" display="Jobs Objects List"/>
    <hyperlink ref="D11" location="'Functions'!A1" display="Functions"/>
    <hyperlink ref="D12" location="'Functions by Job'!A1" display="Functions by Job"/>
    <hyperlink ref="D13" location="'Subject Areas'!A1" display="Subject Areas"/>
    <hyperlink ref="D14" location="'Combined Checksums'!A1" display="Combined Checksums"/>
    <hyperlink ref="D15" location="'Transformation Expressions'!A1" display="Transformation Expressions"/>
    <hyperlink ref="D16" location="'Misc Job Attributes'!A1" display="Misc Job Attributes"/>
    <hyperlink ref="D17" location="'Embedded SQL Summary'!A1" display="Embedded SQL Summary"/>
    <hyperlink ref="D18" location="'Embedded SQL Programs'!A1" display="Embedded SQL Programs"/>
    <hyperlink ref="D19" location="'Embedded SQL Script Categories'!A1" display="Embedded SQL Script Categories"/>
    <hyperlink ref="D20" location="'Embedded SQL UNKNOWN Category'!A1" display="Embedded SQL UNKNOWN Category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185</v>
      </c>
      <c r="B1" s="2" t="s">
        <v>26</v>
      </c>
      <c r="C1" s="2" t="s">
        <v>27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31</v>
      </c>
      <c r="J1" s="2" t="s">
        <v>32</v>
      </c>
      <c r="K1" s="2" t="s">
        <v>33</v>
      </c>
      <c r="L1" s="2" t="s">
        <v>191</v>
      </c>
    </row>
  </sheetData>
  <autoFilter ref="A1:L1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192</v>
      </c>
      <c r="B1" s="2" t="s">
        <v>88</v>
      </c>
    </row>
  </sheetData>
  <autoFilter ref="A1:B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193</v>
      </c>
      <c r="B1" s="2" t="s">
        <v>88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Job Details</vt:lpstr>
      <vt:lpstr>Transformations</vt:lpstr>
      <vt:lpstr>Jobs Transformations Xref</vt:lpstr>
      <vt:lpstr>Jobs Transformations List</vt:lpstr>
      <vt:lpstr>Subjob Info</vt:lpstr>
      <vt:lpstr>Item Node Info</vt:lpstr>
      <vt:lpstr>Jobs Objects Xref</vt:lpstr>
      <vt:lpstr>Jobs Objects List</vt:lpstr>
      <vt:lpstr>Functions</vt:lpstr>
      <vt:lpstr>Functions by Job</vt:lpstr>
      <vt:lpstr>Subject Areas</vt:lpstr>
      <vt:lpstr>Combined Checksums</vt:lpstr>
      <vt:lpstr>Transformation Expressions</vt:lpstr>
      <vt:lpstr>Misc Job Attributes</vt:lpstr>
      <vt:lpstr>Embedded SQL Summary</vt:lpstr>
      <vt:lpstr>Embedded SQL Programs</vt:lpstr>
      <vt:lpstr>Embedded SQL Script Categories</vt:lpstr>
      <vt:lpstr>Embedded SQL UNKNOWN 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2026-03-23T20:58:08Z</dcterms:created>
  <dcterms:modified xsi:type="dcterms:W3CDTF">2026-03-23T20:58:08Z</dcterms:modified>
</cp:coreProperties>
</file>